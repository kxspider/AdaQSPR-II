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7"/>
  <workbookPr/>
  <mc:AlternateContent xmlns:mc="http://schemas.openxmlformats.org/markup-compatibility/2006">
    <mc:Choice Requires="x15">
      <x15ac:absPath xmlns:x15ac="http://schemas.microsoft.com/office/spreadsheetml/2010/11/ac" url="E:\AdaQSPRII1dataset1env1weight1code\GItHub提交\unimol_task\predict_results_of_test_dataset\pred\"/>
    </mc:Choice>
  </mc:AlternateContent>
  <xr:revisionPtr revIDLastSave="0" documentId="13_ncr:1_{8E054DE9-2E3B-4C48-8CCE-06CC8DD6B474}" xr6:coauthVersionLast="36" xr6:coauthVersionMax="36" xr10:uidLastSave="{00000000-0000-0000-0000-000000000000}"/>
  <bookViews>
    <workbookView xWindow="0" yWindow="0" windowWidth="23040" windowHeight="8388" xr2:uid="{00000000-000D-0000-FFFF-FFFF00000000}"/>
  </bookViews>
  <sheets>
    <sheet name="Sheet1" sheetId="1" r:id="rId1"/>
  </sheets>
  <calcPr calcId="179021"/>
</workbook>
</file>

<file path=xl/calcChain.xml><?xml version="1.0" encoding="utf-8"?>
<calcChain xmlns="http://schemas.openxmlformats.org/spreadsheetml/2006/main">
  <c r="AG42" i="1" l="1"/>
  <c r="AG41" i="1"/>
  <c r="AG43" i="1"/>
  <c r="AF43" i="1"/>
  <c r="AF3" i="1" l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2" i="1"/>
  <c r="AG3" i="1" l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2" i="1"/>
</calcChain>
</file>

<file path=xl/sharedStrings.xml><?xml version="1.0" encoding="utf-8"?>
<sst xmlns="http://schemas.openxmlformats.org/spreadsheetml/2006/main" count="190" uniqueCount="85">
  <si>
    <t>num</t>
  </si>
  <si>
    <t>doi</t>
  </si>
  <si>
    <t>catalyst 0 no 1 yes</t>
  </si>
  <si>
    <t>monomer1</t>
  </si>
  <si>
    <t>mol ratio1</t>
  </si>
  <si>
    <t>epoxy value1</t>
  </si>
  <si>
    <t>functionality1</t>
  </si>
  <si>
    <t>hydroxy1</t>
  </si>
  <si>
    <t>monomer2</t>
  </si>
  <si>
    <t>mol ratio2</t>
  </si>
  <si>
    <t>epoxy value2</t>
  </si>
  <si>
    <t>functionality2</t>
  </si>
  <si>
    <t>hydroxy2</t>
  </si>
  <si>
    <t>monomer3</t>
  </si>
  <si>
    <t>mol ratio3</t>
  </si>
  <si>
    <t>epoxy value3</t>
  </si>
  <si>
    <t>functionality3</t>
  </si>
  <si>
    <t>hydroxy3</t>
  </si>
  <si>
    <t>curing agent1</t>
  </si>
  <si>
    <t>mol ratio4</t>
  </si>
  <si>
    <t>functionality4</t>
  </si>
  <si>
    <t>hydroxy4</t>
  </si>
  <si>
    <t>curing agent2</t>
  </si>
  <si>
    <t>mol ratio5</t>
  </si>
  <si>
    <t>functionality5</t>
  </si>
  <si>
    <t>hydroxy5</t>
  </si>
  <si>
    <t>curing agent3</t>
  </si>
  <si>
    <t>mol ratio6</t>
  </si>
  <si>
    <t>functionality6</t>
  </si>
  <si>
    <t>hydroxy6</t>
  </si>
  <si>
    <t>10.1109/TDEI.2025.3581529</t>
  </si>
  <si>
    <t>CC(C)(C1=CC=C(OCC2CO2)C=C1)C1=CC=C(OCC2CO2)C=C1</t>
  </si>
  <si>
    <t>O=C1OC(=O)C2=CC=CC=C12</t>
  </si>
  <si>
    <t>doi.org/10.1016/j.compositesa.2026.109581</t>
  </si>
  <si>
    <t>CC1CCC2C(=O)OC(=O)C2C1</t>
  </si>
  <si>
    <t>O=C(C1=CC=C2C(=O)OC(=O)C2=C1)C1=CC=C2C(=O)OC(=O)C2=C1</t>
  </si>
  <si>
    <t>CN(CCCN(C)C(C1=CC2=C(C=C1)C(=O)OC2=O)C1=CC=C2C(=O)OC(=O)C2=C1)C(C1=CC2=C(C=C1)C(=O)OC2=O)C1=CC=C2C(=O)OC(=O)C2=C1</t>
  </si>
  <si>
    <t>CN(CCCCCCCCCCN(C)C(C1=CC2=C(C=C1)C(=O)OC2=O)C1=CC=C2C(=O)OC(=O)C2=C1)C(C1=CC2=C(C=C1)C(=O)OC2=O)C1=CC=C2C(=O)OC(=O)C2=C1</t>
  </si>
  <si>
    <t>10.1109/TDEI.2025.3649479</t>
  </si>
  <si>
    <t>C1=C(OCC2CO2)C=CC(N(CC2CO2)CC2CO2)=C1</t>
  </si>
  <si>
    <t>10.1109/TDEI.2025.3579440</t>
  </si>
  <si>
    <t>CC12CCCC=C1C(=O)OC2=O</t>
  </si>
  <si>
    <t>doi.org/10.1016/j.cej.2026.173029</t>
  </si>
  <si>
    <t>SCC1COB(C2=CC=C(B3OCC(CS)O3)C=C2)O1</t>
  </si>
  <si>
    <t>NC1=CC=C(CC2=CC=C(N)C=C2)C=C1</t>
  </si>
  <si>
    <t>doi.org/10.1021/acsapm.5c04053</t>
  </si>
  <si>
    <t>CC1=CC(OCC2CO2)=C(C(C)C)C=C1C(C1=CC=C(C(C2=CC(C(C)C)=C(OCC3CO3)C=C2C)C2=CC(C(C)C)=C(OCC3CO3)C=C2C)C=C1)C1=CC(C(C)C)=C(OCC2CO2)C=C1C</t>
  </si>
  <si>
    <t>NC1=CC=CC(S(=O)(=O)C2=CC(N)=CC=C2)=C1</t>
  </si>
  <si>
    <t>NC1=CC=C(S(=O)(=O)C2=CC=C(N)C=C2)C=C1</t>
  </si>
  <si>
    <t>doi.org/10.1002/app.70240</t>
  </si>
  <si>
    <t>O=P(CC1CO1)(C1=CC=CC=C1)C1=CC=CC=C1</t>
  </si>
  <si>
    <t>doi.org/10.1016/j.polymer.2025.129398</t>
  </si>
  <si>
    <t>CC1C=CCC2C(=O)OC(=O)C12</t>
  </si>
  <si>
    <t>CC(C)(C1=CC=C(OCC(COCC2CO2)OCC2CO2)C=C1)C1=CC=C(OCC(COCC2CO2)OCC2CO2)C=C1</t>
  </si>
  <si>
    <t>doi.org/10.1016/j.ijadhadh.2025.104186</t>
  </si>
  <si>
    <t>O=P1(CCCOC2=C(OCC3CO3)C=CC=C2OCC2CO2)OC2=C(C=CC=C2)C2=C1C=CC=C2</t>
  </si>
  <si>
    <t>CC12CCCCC1C(=O)OC2=O</t>
  </si>
  <si>
    <t>10.1007/s10118-025-3427-2</t>
  </si>
  <si>
    <t>C=C(CC(=O)OCC1CO1)C(=O)OCC1CO1</t>
  </si>
  <si>
    <t>NC1=CC=CC=C1SSC1=CC=CC=C1N</t>
  </si>
  <si>
    <t>doi.org/10.1007/s11664-025-12409-1</t>
  </si>
  <si>
    <t>CC(C)(C1=CC=C(OCC2CO2)C=C1)C1=CC=C(OP(OC2=CC=C(C(C)(C)C3=CC=C(OCC4CO4)C=C3)C=C2)(OC2=CC=C(C(C)(C)C3=CC=C(OCC4CO4)C=C3)C=C2)(OC2=CC=C(C(C)(C)C3=CC=C(OCC4CO4)C=C3)C=C2)OC2=CC=C(C(C)(C)C3=CC=C(OCC4CO4)C=C3)C=C2)C=C1</t>
  </si>
  <si>
    <t>doi.org/10.1016/j.porgcoat.2025.109708</t>
  </si>
  <si>
    <t>CCC1=C(O)C(CC2=C(O)C(CC3=C(O)C(CC)=CC=C3)=CC=C2)=CC=C1</t>
  </si>
  <si>
    <t>doi.org/10.1016/j.polymertesting.2025.108992</t>
  </si>
  <si>
    <t>COC1=C(OCC2CO2)C(/C=N/[C@H](CC2=CC=CC=C2)C(=O)OCC2CO2)=CC=C1</t>
  </si>
  <si>
    <t>doi.org/10.1016/j.cej.2025.168630</t>
  </si>
  <si>
    <t>CCC1(COCC2CO2)COC(C2=CC=C(OCC3CO3)C=C2)OC1</t>
  </si>
  <si>
    <t>CC12C(=O)OC(=O)C1C1C=CC2C1</t>
  </si>
  <si>
    <t>doi.org/10.1016/j.indcrop.2025.121930</t>
  </si>
  <si>
    <t>CC(N)COCC(C)OCC(C)N</t>
  </si>
  <si>
    <t>CC(N)COCC(C)OCC(C)OCC(C)N</t>
  </si>
  <si>
    <t>FC(F)(F)C(C1=CC=C(OCC2CO2)C=C1)(C1=CC=C(OCC2CO2)C=C1)C(F)(F)F</t>
  </si>
  <si>
    <t>CCCCC1C2CC3C4(C)CCCC(C)(C(=O)O)C4CCC3(C=C2C(C)C)C1/C=C/C=C/CCCCCCCC(=O)OCC(COC(=O)CCCCCCC/C=C/C=C/C1C(CCCC)C2CC3C4(C)CCCC(C)(C(=O)O)C4CCC13C=C2C(C)C)OC(=O)CCCCCCC/C=C/C=C/C1C(CCCC)C2CC3C4(C)CCCC(C)(C(=O)O)C4CCC13C=C2C(C)C</t>
  </si>
  <si>
    <t>doi.org/10.1002/app.57923</t>
  </si>
  <si>
    <t>CC12CC(C=C1)C3C2C(=O)OC3=O</t>
  </si>
  <si>
    <t>CC1=CC(N2C(=O)N(C3=C=CC(C)C(N4C(=O)C5=C(C=C(C(=O)C6=CC7=C(C=C6)C(=O)OC7=O)C=C5)C4=O)=C3)C(=O)N(C3=CC(N4C(=O)C5=C(C=C(C(=O)C6=CC7=C(C=C6)C(=O)OC7=O)C=C5)C4=O)=C(C)C=C3)C2=O)=CC=C1N1C(=O)C2=C(C=C(C(=O)C3=CC4=C(C=C3)C(=O)OC4=O)C=C2)C1=O</t>
  </si>
  <si>
    <t>doi.org/10.1016/j.compscitech.2025.111331</t>
  </si>
  <si>
    <t>OCC(CS)OB1OCC(CS)O1</t>
  </si>
  <si>
    <t>NC1=CC=C(SSC2=CC=C(N)C=C2)C=C1</t>
  </si>
  <si>
    <t>doi.org/10.3390/polym17192655</t>
  </si>
  <si>
    <t>log_tan</t>
    <phoneticPr fontId="2" type="noConversion"/>
  </si>
  <si>
    <t>log_tan_delta_pred</t>
    <phoneticPr fontId="2" type="noConversion"/>
  </si>
  <si>
    <t>tan_delta</t>
    <phoneticPr fontId="2" type="noConversion"/>
  </si>
  <si>
    <t>pred_tan_delta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</si>
</sst>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Border="1"/>
    <xf numFmtId="0" fontId="3" fillId="0" borderId="1" xfId="0" applyFont="1" applyBorder="1" applyAlignment="1">
      <alignment horizontal="center" vertical="top"/>
    </xf>
    <xf numFmtId="0" fontId="3" fillId="0" borderId="2" xfId="0" applyFont="1" applyFill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49" fontId="0" fillId="0" borderId="0" xfId="0" applyNumberFormat="1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3"/>
  <sheetViews>
    <sheetView tabSelected="1" topLeftCell="A25" workbookViewId="0">
      <selection activeCell="AG45" sqref="AG45"/>
    </sheetView>
  </sheetViews>
  <sheetFormatPr defaultRowHeight="14.4" x14ac:dyDescent="0.25"/>
  <cols>
    <col min="1" max="1" width="8.88671875" style="6"/>
  </cols>
  <sheetData>
    <row r="1" spans="1:34" x14ac:dyDescent="0.25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3" t="s">
        <v>83</v>
      </c>
      <c r="AF1" s="4" t="s">
        <v>84</v>
      </c>
      <c r="AG1" s="3" t="s">
        <v>81</v>
      </c>
      <c r="AH1" s="3" t="s">
        <v>82</v>
      </c>
    </row>
    <row r="2" spans="1:34" x14ac:dyDescent="0.25">
      <c r="A2" s="7">
        <v>1</v>
      </c>
      <c r="B2" s="2" t="s">
        <v>30</v>
      </c>
      <c r="C2" s="2">
        <v>1</v>
      </c>
      <c r="D2" s="2" t="s">
        <v>31</v>
      </c>
      <c r="E2" s="2">
        <v>27.86</v>
      </c>
      <c r="F2" s="2">
        <v>0.53480000000000005</v>
      </c>
      <c r="G2" s="2">
        <v>2</v>
      </c>
      <c r="H2" s="2">
        <v>0.1181</v>
      </c>
      <c r="I2" s="2" t="s">
        <v>31</v>
      </c>
      <c r="J2" s="2">
        <v>5.47</v>
      </c>
      <c r="K2" s="2">
        <v>0.21049999999999999</v>
      </c>
      <c r="L2" s="2">
        <v>2</v>
      </c>
      <c r="M2" s="2">
        <v>2.1436999999999999</v>
      </c>
      <c r="N2" s="2"/>
      <c r="O2" s="2"/>
      <c r="P2" s="2"/>
      <c r="Q2" s="2"/>
      <c r="R2" s="2"/>
      <c r="S2" s="2" t="s">
        <v>32</v>
      </c>
      <c r="T2" s="2">
        <v>66.67</v>
      </c>
      <c r="U2" s="2">
        <v>1</v>
      </c>
      <c r="V2" s="2">
        <v>0</v>
      </c>
      <c r="W2" s="2"/>
      <c r="X2" s="2"/>
      <c r="Y2" s="2"/>
      <c r="Z2" s="2"/>
      <c r="AA2" s="2"/>
      <c r="AB2" s="2"/>
      <c r="AC2" s="2"/>
      <c r="AD2" s="2"/>
      <c r="AE2" s="2">
        <v>5.0000000000000001E-3</v>
      </c>
      <c r="AF2" s="2">
        <f>10^AH2</f>
        <v>3.7681443305669885E-3</v>
      </c>
      <c r="AG2" s="2">
        <f t="shared" ref="AG2:AG43" si="0">LOG10(AE2)</f>
        <v>-2.3010299956639813</v>
      </c>
      <c r="AH2" s="2">
        <v>-2.4238724708557129</v>
      </c>
    </row>
    <row r="3" spans="1:34" x14ac:dyDescent="0.25">
      <c r="A3" s="6">
        <v>2</v>
      </c>
      <c r="B3" t="s">
        <v>30</v>
      </c>
      <c r="C3">
        <v>1</v>
      </c>
      <c r="D3" t="s">
        <v>31</v>
      </c>
      <c r="E3">
        <v>29.47</v>
      </c>
      <c r="F3">
        <v>0.53480000000000005</v>
      </c>
      <c r="G3">
        <v>2</v>
      </c>
      <c r="H3">
        <v>0.1181</v>
      </c>
      <c r="I3" t="s">
        <v>31</v>
      </c>
      <c r="J3">
        <v>3.86</v>
      </c>
      <c r="K3">
        <v>0.21049999999999999</v>
      </c>
      <c r="L3">
        <v>2</v>
      </c>
      <c r="M3">
        <v>2.1436999999999999</v>
      </c>
      <c r="S3" t="s">
        <v>32</v>
      </c>
      <c r="T3">
        <v>66.67</v>
      </c>
      <c r="U3">
        <v>1</v>
      </c>
      <c r="V3">
        <v>0</v>
      </c>
      <c r="AE3">
        <v>5.4999999999999997E-3</v>
      </c>
      <c r="AF3">
        <f>10^AH3</f>
        <v>3.7917757078748649E-3</v>
      </c>
      <c r="AG3">
        <f t="shared" si="0"/>
        <v>-2.2596373105057563</v>
      </c>
      <c r="AH3">
        <v>-2.4211573600769039</v>
      </c>
    </row>
    <row r="4" spans="1:34" x14ac:dyDescent="0.25">
      <c r="A4" s="6">
        <v>3</v>
      </c>
      <c r="B4" t="s">
        <v>30</v>
      </c>
      <c r="C4">
        <v>1</v>
      </c>
      <c r="D4" t="s">
        <v>31</v>
      </c>
      <c r="E4">
        <v>30.35</v>
      </c>
      <c r="F4">
        <v>0.53480000000000005</v>
      </c>
      <c r="G4">
        <v>2</v>
      </c>
      <c r="H4">
        <v>0.1181</v>
      </c>
      <c r="I4" t="s">
        <v>31</v>
      </c>
      <c r="J4">
        <v>2.98</v>
      </c>
      <c r="K4">
        <v>0.21049999999999999</v>
      </c>
      <c r="L4">
        <v>2</v>
      </c>
      <c r="M4">
        <v>2.1436999999999999</v>
      </c>
      <c r="S4" t="s">
        <v>32</v>
      </c>
      <c r="T4">
        <v>66.67</v>
      </c>
      <c r="U4">
        <v>1</v>
      </c>
      <c r="V4">
        <v>0</v>
      </c>
      <c r="AE4">
        <v>4.5999999999999999E-3</v>
      </c>
      <c r="AF4">
        <f>10^AH4</f>
        <v>3.785993258219998E-3</v>
      </c>
      <c r="AG4">
        <f t="shared" si="0"/>
        <v>-2.3372421683184261</v>
      </c>
      <c r="AH4">
        <v>-2.4218201637268071</v>
      </c>
    </row>
    <row r="5" spans="1:34" x14ac:dyDescent="0.25">
      <c r="A5" s="6">
        <v>4</v>
      </c>
      <c r="B5" t="s">
        <v>30</v>
      </c>
      <c r="C5">
        <v>1</v>
      </c>
      <c r="D5" t="s">
        <v>31</v>
      </c>
      <c r="E5">
        <v>30.91</v>
      </c>
      <c r="F5">
        <v>0.53480000000000005</v>
      </c>
      <c r="G5">
        <v>2</v>
      </c>
      <c r="H5">
        <v>0.1181</v>
      </c>
      <c r="I5" t="s">
        <v>31</v>
      </c>
      <c r="J5">
        <v>2.4300000000000002</v>
      </c>
      <c r="K5">
        <v>0.21049999999999999</v>
      </c>
      <c r="L5">
        <v>2</v>
      </c>
      <c r="M5">
        <v>2.1436999999999999</v>
      </c>
      <c r="S5" t="s">
        <v>32</v>
      </c>
      <c r="T5">
        <v>66.67</v>
      </c>
      <c r="U5">
        <v>1</v>
      </c>
      <c r="V5">
        <v>0</v>
      </c>
      <c r="AE5">
        <v>4.3E-3</v>
      </c>
      <c r="AF5">
        <f>10^AH5</f>
        <v>3.7864443046220866E-3</v>
      </c>
      <c r="AG5">
        <f t="shared" si="0"/>
        <v>-2.3665315444204134</v>
      </c>
      <c r="AH5">
        <v>-2.421768426895142</v>
      </c>
    </row>
    <row r="6" spans="1:34" x14ac:dyDescent="0.25">
      <c r="A6" s="6">
        <v>5</v>
      </c>
      <c r="B6" t="s">
        <v>33</v>
      </c>
      <c r="C6">
        <v>1</v>
      </c>
      <c r="D6" t="s">
        <v>31</v>
      </c>
      <c r="E6">
        <v>32.369999999999997</v>
      </c>
      <c r="F6">
        <v>0.53500000000000003</v>
      </c>
      <c r="G6">
        <v>2</v>
      </c>
      <c r="H6">
        <v>0.11749999999999999</v>
      </c>
      <c r="S6" t="s">
        <v>34</v>
      </c>
      <c r="T6">
        <v>64.069999999999993</v>
      </c>
      <c r="U6">
        <v>1</v>
      </c>
      <c r="V6">
        <v>0</v>
      </c>
      <c r="W6" t="s">
        <v>35</v>
      </c>
      <c r="X6">
        <v>3.56</v>
      </c>
      <c r="Y6">
        <v>2</v>
      </c>
      <c r="Z6">
        <v>0</v>
      </c>
      <c r="AE6">
        <v>2.3E-3</v>
      </c>
      <c r="AF6">
        <f>10^AH6</f>
        <v>3.2513554963881247E-3</v>
      </c>
      <c r="AG6">
        <f t="shared" si="0"/>
        <v>-2.6382721639824069</v>
      </c>
      <c r="AH6">
        <v>-2.4879355430603032</v>
      </c>
    </row>
    <row r="7" spans="1:34" x14ac:dyDescent="0.25">
      <c r="A7" s="6">
        <v>6</v>
      </c>
      <c r="B7" t="s">
        <v>33</v>
      </c>
      <c r="C7">
        <v>1</v>
      </c>
      <c r="D7" t="s">
        <v>31</v>
      </c>
      <c r="E7">
        <v>32.96</v>
      </c>
      <c r="F7">
        <v>0.53500000000000003</v>
      </c>
      <c r="G7">
        <v>2</v>
      </c>
      <c r="H7">
        <v>0.11749999999999999</v>
      </c>
      <c r="S7" t="s">
        <v>34</v>
      </c>
      <c r="T7">
        <v>65.23</v>
      </c>
      <c r="U7">
        <v>1</v>
      </c>
      <c r="V7">
        <v>0</v>
      </c>
      <c r="W7" t="s">
        <v>36</v>
      </c>
      <c r="X7">
        <v>1.81</v>
      </c>
      <c r="Y7">
        <v>4</v>
      </c>
      <c r="Z7">
        <v>0</v>
      </c>
      <c r="AE7">
        <v>2.8E-3</v>
      </c>
      <c r="AF7">
        <f>10^AH7</f>
        <v>4.021165958791483E-3</v>
      </c>
      <c r="AG7">
        <f t="shared" si="0"/>
        <v>-2.5528419686577806</v>
      </c>
      <c r="AH7">
        <v>-2.3956480026245122</v>
      </c>
    </row>
    <row r="8" spans="1:34" x14ac:dyDescent="0.25">
      <c r="A8" s="7">
        <v>7</v>
      </c>
      <c r="B8" t="s">
        <v>33</v>
      </c>
      <c r="C8">
        <v>1</v>
      </c>
      <c r="D8" t="s">
        <v>31</v>
      </c>
      <c r="E8">
        <v>32.96</v>
      </c>
      <c r="F8">
        <v>0.53500000000000003</v>
      </c>
      <c r="G8">
        <v>2</v>
      </c>
      <c r="H8">
        <v>0.11749999999999999</v>
      </c>
      <c r="S8" t="s">
        <v>34</v>
      </c>
      <c r="T8">
        <v>65.23</v>
      </c>
      <c r="U8">
        <v>1</v>
      </c>
      <c r="V8">
        <v>0</v>
      </c>
      <c r="W8" t="s">
        <v>37</v>
      </c>
      <c r="X8">
        <v>1.81</v>
      </c>
      <c r="Y8">
        <v>4</v>
      </c>
      <c r="Z8">
        <v>0</v>
      </c>
      <c r="AE8">
        <v>2.5000000000000001E-3</v>
      </c>
      <c r="AF8">
        <f>10^AH8</f>
        <v>4.520204079489624E-3</v>
      </c>
      <c r="AG8">
        <f t="shared" si="0"/>
        <v>-2.6020599913279625</v>
      </c>
      <c r="AH8">
        <v>-2.3448419570922852</v>
      </c>
    </row>
    <row r="9" spans="1:34" x14ac:dyDescent="0.25">
      <c r="A9" s="6">
        <v>8</v>
      </c>
      <c r="B9" t="s">
        <v>38</v>
      </c>
      <c r="C9">
        <v>1</v>
      </c>
      <c r="D9" t="s">
        <v>39</v>
      </c>
      <c r="E9">
        <v>40.26</v>
      </c>
      <c r="F9">
        <v>1.0818000000000001</v>
      </c>
      <c r="G9">
        <v>3</v>
      </c>
      <c r="H9">
        <v>0</v>
      </c>
      <c r="S9" t="s">
        <v>34</v>
      </c>
      <c r="T9">
        <v>59.74</v>
      </c>
      <c r="U9">
        <v>1</v>
      </c>
      <c r="V9">
        <v>0</v>
      </c>
      <c r="AE9">
        <v>5.1000000000000004E-3</v>
      </c>
      <c r="AF9">
        <f>10^AH9</f>
        <v>9.5918706739713446E-3</v>
      </c>
      <c r="AG9">
        <f t="shared" si="0"/>
        <v>-2.2924298239020637</v>
      </c>
      <c r="AH9">
        <v>-2.0180966854095459</v>
      </c>
    </row>
    <row r="10" spans="1:34" x14ac:dyDescent="0.25">
      <c r="A10" s="6">
        <v>9</v>
      </c>
      <c r="B10" t="s">
        <v>38</v>
      </c>
      <c r="C10">
        <v>1</v>
      </c>
      <c r="D10" t="s">
        <v>31</v>
      </c>
      <c r="E10">
        <v>31.83</v>
      </c>
      <c r="F10">
        <v>0.54349999999999998</v>
      </c>
      <c r="G10">
        <v>2</v>
      </c>
      <c r="H10">
        <v>9.7000000000000003E-3</v>
      </c>
      <c r="I10" t="s">
        <v>39</v>
      </c>
      <c r="J10">
        <v>2.2200000000000002</v>
      </c>
      <c r="K10">
        <v>1.0818000000000001</v>
      </c>
      <c r="L10">
        <v>3</v>
      </c>
      <c r="M10">
        <v>0</v>
      </c>
      <c r="S10" t="s">
        <v>34</v>
      </c>
      <c r="T10">
        <v>65.959999999999994</v>
      </c>
      <c r="U10">
        <v>1</v>
      </c>
      <c r="V10">
        <v>0</v>
      </c>
      <c r="AE10">
        <v>4.0000000000000001E-3</v>
      </c>
      <c r="AF10">
        <f>10^AH10</f>
        <v>5.108963230170383E-3</v>
      </c>
      <c r="AG10">
        <f t="shared" si="0"/>
        <v>-2.3979400086720375</v>
      </c>
      <c r="AH10">
        <v>-2.291667222976685</v>
      </c>
    </row>
    <row r="11" spans="1:34" x14ac:dyDescent="0.25">
      <c r="A11" s="6">
        <v>10</v>
      </c>
      <c r="B11" t="s">
        <v>38</v>
      </c>
      <c r="C11">
        <v>1</v>
      </c>
      <c r="D11" t="s">
        <v>31</v>
      </c>
      <c r="E11">
        <v>29.98</v>
      </c>
      <c r="F11">
        <v>0.54349999999999998</v>
      </c>
      <c r="G11">
        <v>2</v>
      </c>
      <c r="H11">
        <v>9.7000000000000003E-3</v>
      </c>
      <c r="I11" t="s">
        <v>39</v>
      </c>
      <c r="J11">
        <v>4.43</v>
      </c>
      <c r="K11">
        <v>1.0818000000000001</v>
      </c>
      <c r="L11">
        <v>3</v>
      </c>
      <c r="M11">
        <v>0</v>
      </c>
      <c r="S11" t="s">
        <v>34</v>
      </c>
      <c r="T11">
        <v>65.59</v>
      </c>
      <c r="U11">
        <v>1</v>
      </c>
      <c r="V11">
        <v>0</v>
      </c>
      <c r="AE11">
        <v>5.7999999999999996E-3</v>
      </c>
      <c r="AF11">
        <f>10^AH11</f>
        <v>5.0376730351745641E-3</v>
      </c>
      <c r="AG11">
        <f t="shared" si="0"/>
        <v>-2.2365720064370627</v>
      </c>
      <c r="AH11">
        <v>-2.2977700233459468</v>
      </c>
    </row>
    <row r="12" spans="1:34" x14ac:dyDescent="0.25">
      <c r="A12" s="6">
        <v>11</v>
      </c>
      <c r="B12" t="s">
        <v>38</v>
      </c>
      <c r="C12">
        <v>1</v>
      </c>
      <c r="D12" t="s">
        <v>31</v>
      </c>
      <c r="E12">
        <v>32.07</v>
      </c>
      <c r="F12">
        <v>0.54349999999999998</v>
      </c>
      <c r="G12">
        <v>2</v>
      </c>
      <c r="H12">
        <v>9.7000000000000003E-3</v>
      </c>
      <c r="I12" t="s">
        <v>39</v>
      </c>
      <c r="J12">
        <v>1.47</v>
      </c>
      <c r="K12">
        <v>1.0818000000000001</v>
      </c>
      <c r="L12">
        <v>3</v>
      </c>
      <c r="M12">
        <v>0</v>
      </c>
      <c r="S12" t="s">
        <v>34</v>
      </c>
      <c r="T12">
        <v>66.459999999999994</v>
      </c>
      <c r="U12">
        <v>1</v>
      </c>
      <c r="V12">
        <v>0</v>
      </c>
      <c r="AE12">
        <v>5.8999999999999999E-3</v>
      </c>
      <c r="AF12">
        <f>10^AH12</f>
        <v>5.1001612149554013E-3</v>
      </c>
      <c r="AG12">
        <f t="shared" si="0"/>
        <v>-2.2291479883578558</v>
      </c>
      <c r="AH12">
        <v>-2.292416095733643</v>
      </c>
    </row>
    <row r="13" spans="1:34" x14ac:dyDescent="0.25">
      <c r="A13" s="6">
        <v>12</v>
      </c>
      <c r="B13" t="s">
        <v>38</v>
      </c>
      <c r="C13">
        <v>1</v>
      </c>
      <c r="D13" t="s">
        <v>31</v>
      </c>
      <c r="E13">
        <v>30.45</v>
      </c>
      <c r="F13">
        <v>0.54349999999999998</v>
      </c>
      <c r="G13">
        <v>2</v>
      </c>
      <c r="H13">
        <v>9.7000000000000003E-3</v>
      </c>
      <c r="I13" t="s">
        <v>39</v>
      </c>
      <c r="J13">
        <v>2.95</v>
      </c>
      <c r="K13">
        <v>1.0818000000000001</v>
      </c>
      <c r="L13">
        <v>3</v>
      </c>
      <c r="M13">
        <v>0</v>
      </c>
      <c r="S13" t="s">
        <v>34</v>
      </c>
      <c r="T13">
        <v>66.599999999999994</v>
      </c>
      <c r="U13">
        <v>1</v>
      </c>
      <c r="V13">
        <v>0</v>
      </c>
      <c r="AE13">
        <v>5.0000000000000001E-3</v>
      </c>
      <c r="AF13">
        <f>10^AH13</f>
        <v>5.1320869794002199E-3</v>
      </c>
      <c r="AG13">
        <f t="shared" si="0"/>
        <v>-2.3010299956639813</v>
      </c>
      <c r="AH13">
        <v>-2.2897059917449951</v>
      </c>
    </row>
    <row r="14" spans="1:34" x14ac:dyDescent="0.25">
      <c r="A14" s="7">
        <v>13</v>
      </c>
      <c r="B14" t="s">
        <v>40</v>
      </c>
      <c r="C14">
        <v>1</v>
      </c>
      <c r="D14" t="s">
        <v>31</v>
      </c>
      <c r="E14">
        <v>33.950000000000003</v>
      </c>
      <c r="F14">
        <v>0.53190000000000004</v>
      </c>
      <c r="G14">
        <v>2</v>
      </c>
      <c r="H14">
        <v>0.12520000000000001</v>
      </c>
      <c r="S14" t="s">
        <v>41</v>
      </c>
      <c r="T14">
        <v>66.05</v>
      </c>
      <c r="U14">
        <v>1</v>
      </c>
      <c r="V14">
        <v>0</v>
      </c>
      <c r="AE14">
        <v>5.1999999999999998E-3</v>
      </c>
      <c r="AF14">
        <f>10^AH14</f>
        <v>4.028001878870196E-3</v>
      </c>
      <c r="AG14">
        <f t="shared" si="0"/>
        <v>-2.283996656365201</v>
      </c>
      <c r="AH14">
        <v>-2.394910335540771</v>
      </c>
    </row>
    <row r="15" spans="1:34" x14ac:dyDescent="0.25">
      <c r="A15" s="6">
        <v>14</v>
      </c>
      <c r="B15" t="s">
        <v>42</v>
      </c>
      <c r="C15">
        <v>0</v>
      </c>
      <c r="D15" t="s">
        <v>31</v>
      </c>
      <c r="E15">
        <v>45.45</v>
      </c>
      <c r="F15">
        <v>0.57799999999999996</v>
      </c>
      <c r="G15">
        <v>2</v>
      </c>
      <c r="H15">
        <v>1.9599999999999999E-2</v>
      </c>
      <c r="S15" t="s">
        <v>43</v>
      </c>
      <c r="T15">
        <v>54.55</v>
      </c>
      <c r="U15">
        <v>2</v>
      </c>
      <c r="V15">
        <v>0</v>
      </c>
      <c r="AE15">
        <v>2.5999999999999999E-3</v>
      </c>
      <c r="AF15">
        <f>10^AH15</f>
        <v>7.5739682898144584E-3</v>
      </c>
      <c r="AG15">
        <f t="shared" si="0"/>
        <v>-2.5850266520291822</v>
      </c>
      <c r="AH15">
        <v>-2.1206765174865718</v>
      </c>
    </row>
    <row r="16" spans="1:34" x14ac:dyDescent="0.25">
      <c r="A16" s="6">
        <v>15</v>
      </c>
      <c r="B16" t="s">
        <v>42</v>
      </c>
      <c r="C16">
        <v>0</v>
      </c>
      <c r="D16" t="s">
        <v>31</v>
      </c>
      <c r="E16">
        <v>62.5</v>
      </c>
      <c r="F16">
        <v>0.57799999999999996</v>
      </c>
      <c r="G16">
        <v>2</v>
      </c>
      <c r="H16">
        <v>1.9599999999999999E-2</v>
      </c>
      <c r="S16" t="s">
        <v>43</v>
      </c>
      <c r="T16">
        <v>37.5</v>
      </c>
      <c r="U16">
        <v>2</v>
      </c>
      <c r="V16">
        <v>0</v>
      </c>
      <c r="AE16">
        <v>2.8E-3</v>
      </c>
      <c r="AF16">
        <f>10^AH16</f>
        <v>6.2062671683136639E-3</v>
      </c>
      <c r="AG16">
        <f t="shared" si="0"/>
        <v>-2.5528419686577806</v>
      </c>
      <c r="AH16">
        <v>-2.2071695327758789</v>
      </c>
    </row>
    <row r="17" spans="1:34" x14ac:dyDescent="0.25">
      <c r="A17" s="6">
        <v>16</v>
      </c>
      <c r="B17" t="s">
        <v>45</v>
      </c>
      <c r="C17">
        <v>0</v>
      </c>
      <c r="D17" t="s">
        <v>46</v>
      </c>
      <c r="E17">
        <v>48.25</v>
      </c>
      <c r="F17">
        <v>0.40899999999999997</v>
      </c>
      <c r="G17">
        <v>4.2896000000000001</v>
      </c>
      <c r="H17">
        <v>0.14480000000000001</v>
      </c>
      <c r="S17" t="s">
        <v>47</v>
      </c>
      <c r="T17">
        <v>51.75</v>
      </c>
      <c r="U17">
        <v>4</v>
      </c>
      <c r="V17">
        <v>0</v>
      </c>
      <c r="AE17">
        <v>5.0000000000000001E-3</v>
      </c>
      <c r="AF17">
        <f>10^AH17</f>
        <v>6.2662305361146087E-3</v>
      </c>
      <c r="AG17">
        <f t="shared" si="0"/>
        <v>-2.3010299956639813</v>
      </c>
      <c r="AH17">
        <v>-2.202993631362915</v>
      </c>
    </row>
    <row r="18" spans="1:34" x14ac:dyDescent="0.25">
      <c r="A18" s="6">
        <v>17</v>
      </c>
      <c r="B18" t="s">
        <v>45</v>
      </c>
      <c r="C18">
        <v>0</v>
      </c>
      <c r="D18" t="s">
        <v>46</v>
      </c>
      <c r="E18">
        <v>48.25</v>
      </c>
      <c r="F18">
        <v>0.40899999999999997</v>
      </c>
      <c r="G18">
        <v>4.2896000000000001</v>
      </c>
      <c r="H18">
        <v>0.14480000000000001</v>
      </c>
      <c r="S18" t="s">
        <v>48</v>
      </c>
      <c r="T18">
        <v>51.75</v>
      </c>
      <c r="U18">
        <v>4</v>
      </c>
      <c r="V18">
        <v>0</v>
      </c>
      <c r="AE18">
        <v>5.7000000000000002E-3</v>
      </c>
      <c r="AF18">
        <f>10^AH18</f>
        <v>9.3373710864598416E-3</v>
      </c>
      <c r="AG18">
        <f t="shared" si="0"/>
        <v>-2.2441251443275085</v>
      </c>
      <c r="AH18">
        <v>-2.0297753810882568</v>
      </c>
    </row>
    <row r="19" spans="1:34" x14ac:dyDescent="0.25">
      <c r="A19" s="6">
        <v>18</v>
      </c>
      <c r="B19" t="s">
        <v>49</v>
      </c>
      <c r="C19">
        <v>0</v>
      </c>
      <c r="D19" t="s">
        <v>31</v>
      </c>
      <c r="E19">
        <v>60.09</v>
      </c>
      <c r="F19">
        <v>0.51</v>
      </c>
      <c r="G19">
        <v>2</v>
      </c>
      <c r="H19">
        <v>0.18179999999999999</v>
      </c>
      <c r="I19" t="s">
        <v>50</v>
      </c>
      <c r="J19">
        <v>6.48</v>
      </c>
      <c r="L19">
        <v>1</v>
      </c>
      <c r="M19">
        <v>0</v>
      </c>
      <c r="S19" t="s">
        <v>48</v>
      </c>
      <c r="T19">
        <v>33.42</v>
      </c>
      <c r="U19">
        <v>4</v>
      </c>
      <c r="V19">
        <v>0</v>
      </c>
      <c r="AE19">
        <v>2.5999999999999999E-2</v>
      </c>
      <c r="AF19">
        <f>10^AH19</f>
        <v>8.2537760209179471E-3</v>
      </c>
      <c r="AG19">
        <f t="shared" si="0"/>
        <v>-1.585026652029182</v>
      </c>
      <c r="AH19">
        <v>-2.0833473205566411</v>
      </c>
    </row>
    <row r="20" spans="1:34" x14ac:dyDescent="0.25">
      <c r="A20" s="7">
        <v>19</v>
      </c>
      <c r="B20" t="s">
        <v>51</v>
      </c>
      <c r="C20">
        <v>1</v>
      </c>
      <c r="D20" t="s">
        <v>31</v>
      </c>
      <c r="E20">
        <v>40.869999999999997</v>
      </c>
      <c r="F20">
        <v>0.58750000000000002</v>
      </c>
      <c r="G20">
        <v>2</v>
      </c>
      <c r="H20">
        <v>0</v>
      </c>
      <c r="S20" t="s">
        <v>52</v>
      </c>
      <c r="T20">
        <v>59.13</v>
      </c>
      <c r="U20">
        <v>1</v>
      </c>
      <c r="V20">
        <v>0</v>
      </c>
      <c r="AE20">
        <v>3.3999999999999998E-3</v>
      </c>
      <c r="AF20">
        <f>10^AH20</f>
        <v>3.960036285449174E-3</v>
      </c>
      <c r="AG20">
        <f t="shared" si="0"/>
        <v>-2.4685210829577451</v>
      </c>
      <c r="AH20">
        <v>-2.4023008346557622</v>
      </c>
    </row>
    <row r="21" spans="1:34" x14ac:dyDescent="0.25">
      <c r="A21" s="6">
        <v>20</v>
      </c>
      <c r="B21" t="s">
        <v>51</v>
      </c>
      <c r="C21">
        <v>1</v>
      </c>
      <c r="D21" t="s">
        <v>53</v>
      </c>
      <c r="E21">
        <v>18.38</v>
      </c>
      <c r="F21">
        <v>0.56000000000000005</v>
      </c>
      <c r="G21">
        <v>5.2111999999999998</v>
      </c>
      <c r="H21">
        <v>0.60560000000000003</v>
      </c>
      <c r="S21" t="s">
        <v>52</v>
      </c>
      <c r="T21">
        <v>81.62</v>
      </c>
      <c r="U21">
        <v>1</v>
      </c>
      <c r="V21">
        <v>0</v>
      </c>
      <c r="AE21">
        <v>4.4000000000000003E-3</v>
      </c>
      <c r="AF21">
        <f>10^AH21</f>
        <v>4.4344047128405256E-3</v>
      </c>
      <c r="AG21">
        <f t="shared" si="0"/>
        <v>-2.3565473235138126</v>
      </c>
      <c r="AH21">
        <v>-2.3531646728515621</v>
      </c>
    </row>
    <row r="22" spans="1:34" x14ac:dyDescent="0.25">
      <c r="A22" s="6">
        <v>21</v>
      </c>
      <c r="B22" t="s">
        <v>54</v>
      </c>
      <c r="C22">
        <v>0</v>
      </c>
      <c r="D22" t="s">
        <v>31</v>
      </c>
      <c r="E22">
        <v>61.67</v>
      </c>
      <c r="F22">
        <v>0.51</v>
      </c>
      <c r="G22">
        <v>2</v>
      </c>
      <c r="H22">
        <v>0.18179999999999999</v>
      </c>
      <c r="I22" t="s">
        <v>55</v>
      </c>
      <c r="J22">
        <v>5.03</v>
      </c>
      <c r="K22">
        <v>0.40450000000000003</v>
      </c>
      <c r="L22">
        <v>2</v>
      </c>
      <c r="M22">
        <v>0</v>
      </c>
      <c r="S22" t="s">
        <v>44</v>
      </c>
      <c r="T22">
        <v>33.33</v>
      </c>
      <c r="U22">
        <v>4</v>
      </c>
      <c r="V22">
        <v>0</v>
      </c>
      <c r="AE22">
        <v>8.0000000000000002E-3</v>
      </c>
      <c r="AF22">
        <f>10^AH22</f>
        <v>5.6955960328125312E-3</v>
      </c>
      <c r="AG22">
        <f t="shared" si="0"/>
        <v>-2.0969100130080562</v>
      </c>
      <c r="AH22">
        <v>-2.244460821151733</v>
      </c>
    </row>
    <row r="23" spans="1:34" x14ac:dyDescent="0.25">
      <c r="A23" s="6">
        <v>22</v>
      </c>
      <c r="B23" t="s">
        <v>54</v>
      </c>
      <c r="C23">
        <v>0</v>
      </c>
      <c r="D23" t="s">
        <v>31</v>
      </c>
      <c r="E23">
        <v>57.45</v>
      </c>
      <c r="F23">
        <v>0.51</v>
      </c>
      <c r="G23">
        <v>2</v>
      </c>
      <c r="H23">
        <v>0.18179999999999999</v>
      </c>
      <c r="I23" t="s">
        <v>55</v>
      </c>
      <c r="J23">
        <v>9.93</v>
      </c>
      <c r="K23">
        <v>0.40450000000000003</v>
      </c>
      <c r="L23">
        <v>2</v>
      </c>
      <c r="M23">
        <v>0</v>
      </c>
      <c r="S23" t="s">
        <v>44</v>
      </c>
      <c r="T23">
        <v>32.619999999999997</v>
      </c>
      <c r="U23">
        <v>4</v>
      </c>
      <c r="V23">
        <v>0</v>
      </c>
      <c r="AE23">
        <v>6.0000000000000001E-3</v>
      </c>
      <c r="AF23">
        <f>10^AH23</f>
        <v>5.6705433863788891E-3</v>
      </c>
      <c r="AG23">
        <f t="shared" si="0"/>
        <v>-2.2218487496163561</v>
      </c>
      <c r="AH23">
        <v>-2.2463753223419189</v>
      </c>
    </row>
    <row r="24" spans="1:34" x14ac:dyDescent="0.25">
      <c r="A24" s="6">
        <v>23</v>
      </c>
      <c r="B24" t="s">
        <v>54</v>
      </c>
      <c r="C24">
        <v>0</v>
      </c>
      <c r="D24" t="s">
        <v>31</v>
      </c>
      <c r="E24">
        <v>45.51</v>
      </c>
      <c r="F24">
        <v>0.51</v>
      </c>
      <c r="G24">
        <v>2</v>
      </c>
      <c r="H24">
        <v>0.18179999999999999</v>
      </c>
      <c r="I24" t="s">
        <v>55</v>
      </c>
      <c r="J24">
        <v>21.19</v>
      </c>
      <c r="K24">
        <v>0.40450000000000003</v>
      </c>
      <c r="L24">
        <v>2</v>
      </c>
      <c r="M24">
        <v>0</v>
      </c>
      <c r="S24" t="s">
        <v>44</v>
      </c>
      <c r="T24">
        <v>33.33</v>
      </c>
      <c r="U24">
        <v>4</v>
      </c>
      <c r="V24">
        <v>0</v>
      </c>
      <c r="AE24">
        <v>7.0000000000000001E-3</v>
      </c>
      <c r="AF24">
        <f>10^AH24</f>
        <v>5.8821198968571848E-3</v>
      </c>
      <c r="AG24">
        <f t="shared" si="0"/>
        <v>-2.1549019599857431</v>
      </c>
      <c r="AH24">
        <v>-2.2304661273956299</v>
      </c>
    </row>
    <row r="25" spans="1:34" x14ac:dyDescent="0.25">
      <c r="A25" s="6">
        <v>24</v>
      </c>
      <c r="B25" t="s">
        <v>57</v>
      </c>
      <c r="C25">
        <v>0</v>
      </c>
      <c r="D25" t="s">
        <v>58</v>
      </c>
      <c r="E25">
        <v>66.66</v>
      </c>
      <c r="F25">
        <v>0.53300000000000003</v>
      </c>
      <c r="G25">
        <v>2</v>
      </c>
      <c r="H25">
        <v>0.71440000000000003</v>
      </c>
      <c r="S25" t="s">
        <v>59</v>
      </c>
      <c r="T25">
        <v>33.340000000000003</v>
      </c>
      <c r="U25">
        <v>4</v>
      </c>
      <c r="V25">
        <v>0</v>
      </c>
      <c r="AE25">
        <v>4.4000000000000003E-3</v>
      </c>
      <c r="AF25">
        <f>10^AH25</f>
        <v>9.9188297915631402E-3</v>
      </c>
      <c r="AG25">
        <f t="shared" si="0"/>
        <v>-2.3565473235138126</v>
      </c>
      <c r="AH25">
        <v>-2.0035395622253418</v>
      </c>
    </row>
    <row r="26" spans="1:34" x14ac:dyDescent="0.25">
      <c r="A26" s="7">
        <v>25</v>
      </c>
      <c r="B26" t="s">
        <v>57</v>
      </c>
      <c r="C26">
        <v>1</v>
      </c>
      <c r="D26" t="s">
        <v>58</v>
      </c>
      <c r="E26">
        <v>33.340000000000003</v>
      </c>
      <c r="F26">
        <v>0.53300000000000003</v>
      </c>
      <c r="G26">
        <v>2</v>
      </c>
      <c r="H26">
        <v>0.71440000000000003</v>
      </c>
      <c r="S26" t="s">
        <v>56</v>
      </c>
      <c r="T26">
        <v>66.66</v>
      </c>
      <c r="U26">
        <v>1</v>
      </c>
      <c r="V26">
        <v>0</v>
      </c>
      <c r="AE26">
        <v>4.5999999999999999E-3</v>
      </c>
      <c r="AF26">
        <f>10^AH26</f>
        <v>7.2126234862552709E-3</v>
      </c>
      <c r="AG26">
        <f t="shared" si="0"/>
        <v>-2.3372421683184261</v>
      </c>
      <c r="AH26">
        <v>-2.14190673828125</v>
      </c>
    </row>
    <row r="27" spans="1:34" x14ac:dyDescent="0.25">
      <c r="A27" s="6">
        <v>26</v>
      </c>
      <c r="B27" t="s">
        <v>60</v>
      </c>
      <c r="C27">
        <v>0</v>
      </c>
      <c r="D27" t="s">
        <v>61</v>
      </c>
      <c r="E27">
        <v>44.44</v>
      </c>
      <c r="F27">
        <v>0.34539999999999998</v>
      </c>
      <c r="G27">
        <v>5</v>
      </c>
      <c r="H27">
        <v>0</v>
      </c>
      <c r="S27" t="s">
        <v>44</v>
      </c>
      <c r="T27">
        <v>55.56</v>
      </c>
      <c r="U27">
        <v>4</v>
      </c>
      <c r="V27">
        <v>0</v>
      </c>
      <c r="AE27">
        <v>3.7000000000000002E-3</v>
      </c>
      <c r="AF27">
        <f>10^AH27</f>
        <v>7.295010203937179E-3</v>
      </c>
      <c r="AG27">
        <f t="shared" si="0"/>
        <v>-2.431798275933005</v>
      </c>
      <c r="AH27">
        <v>-2.1369740962982182</v>
      </c>
    </row>
    <row r="28" spans="1:34" x14ac:dyDescent="0.25">
      <c r="A28" s="6">
        <v>27</v>
      </c>
      <c r="B28" t="s">
        <v>62</v>
      </c>
      <c r="C28">
        <v>1</v>
      </c>
      <c r="D28" t="s">
        <v>31</v>
      </c>
      <c r="E28">
        <v>60</v>
      </c>
      <c r="F28">
        <v>0.5</v>
      </c>
      <c r="G28">
        <v>2</v>
      </c>
      <c r="H28">
        <v>0.21110000000000001</v>
      </c>
      <c r="S28" t="s">
        <v>63</v>
      </c>
      <c r="T28">
        <v>40</v>
      </c>
      <c r="U28">
        <v>0</v>
      </c>
      <c r="V28">
        <v>3</v>
      </c>
      <c r="AE28">
        <v>8.0000000000000002E-3</v>
      </c>
      <c r="AF28">
        <f>10^AH28</f>
        <v>5.2415907577030288E-3</v>
      </c>
      <c r="AG28">
        <f t="shared" si="0"/>
        <v>-2.0969100130080562</v>
      </c>
      <c r="AH28">
        <v>-2.2805368900299068</v>
      </c>
    </row>
    <row r="29" spans="1:34" x14ac:dyDescent="0.25">
      <c r="A29" s="6">
        <v>28</v>
      </c>
      <c r="B29" t="s">
        <v>64</v>
      </c>
      <c r="C29">
        <v>0</v>
      </c>
      <c r="D29" t="s">
        <v>65</v>
      </c>
      <c r="E29">
        <v>66.66</v>
      </c>
      <c r="F29">
        <v>0.48099999999999998</v>
      </c>
      <c r="G29">
        <v>2</v>
      </c>
      <c r="H29">
        <v>1.2200000000000001E-2</v>
      </c>
      <c r="S29" t="s">
        <v>44</v>
      </c>
      <c r="T29">
        <v>33.340000000000003</v>
      </c>
      <c r="U29">
        <v>4</v>
      </c>
      <c r="V29">
        <v>0</v>
      </c>
      <c r="AE29">
        <v>5.9899999999999997E-3</v>
      </c>
      <c r="AF29">
        <f>10^AH29</f>
        <v>1.145524615710789E-2</v>
      </c>
      <c r="AG29">
        <f t="shared" si="0"/>
        <v>-2.2225731776106885</v>
      </c>
      <c r="AH29">
        <v>-1.940995573997498</v>
      </c>
    </row>
    <row r="30" spans="1:34" x14ac:dyDescent="0.25">
      <c r="A30" s="6">
        <v>29</v>
      </c>
      <c r="B30" t="s">
        <v>66</v>
      </c>
      <c r="C30">
        <v>1</v>
      </c>
      <c r="D30" t="s">
        <v>67</v>
      </c>
      <c r="E30">
        <v>40</v>
      </c>
      <c r="F30">
        <v>0.52400000000000002</v>
      </c>
      <c r="G30">
        <v>2</v>
      </c>
      <c r="H30">
        <v>0.1062</v>
      </c>
      <c r="S30" t="s">
        <v>68</v>
      </c>
      <c r="T30">
        <v>60</v>
      </c>
      <c r="U30">
        <v>1</v>
      </c>
      <c r="V30">
        <v>0</v>
      </c>
      <c r="AE30">
        <v>4.0000000000000001E-3</v>
      </c>
      <c r="AF30">
        <f>10^AH30</f>
        <v>5.7736827037714756E-3</v>
      </c>
      <c r="AG30">
        <f t="shared" si="0"/>
        <v>-2.3979400086720375</v>
      </c>
      <c r="AH30">
        <v>-2.2385470867156978</v>
      </c>
    </row>
    <row r="31" spans="1:34" x14ac:dyDescent="0.25">
      <c r="A31" s="6">
        <v>30</v>
      </c>
      <c r="B31" t="s">
        <v>69</v>
      </c>
      <c r="C31">
        <v>1</v>
      </c>
      <c r="D31" t="s">
        <v>31</v>
      </c>
      <c r="E31">
        <v>65.28</v>
      </c>
      <c r="F31">
        <v>0.44</v>
      </c>
      <c r="G31">
        <v>2</v>
      </c>
      <c r="H31">
        <v>0.40150000000000002</v>
      </c>
      <c r="S31" t="s">
        <v>70</v>
      </c>
      <c r="T31">
        <v>10.98</v>
      </c>
      <c r="U31">
        <v>4</v>
      </c>
      <c r="V31">
        <v>0</v>
      </c>
      <c r="W31" t="s">
        <v>71</v>
      </c>
      <c r="X31">
        <v>23.74</v>
      </c>
      <c r="Y31">
        <v>4</v>
      </c>
      <c r="Z31">
        <v>0</v>
      </c>
      <c r="AE31">
        <v>6.0000000000000001E-3</v>
      </c>
      <c r="AF31">
        <f>10^AH31</f>
        <v>7.2404534885865844E-3</v>
      </c>
      <c r="AG31">
        <f t="shared" si="0"/>
        <v>-2.2218487496163561</v>
      </c>
      <c r="AH31">
        <v>-2.140234231948853</v>
      </c>
    </row>
    <row r="32" spans="1:34" x14ac:dyDescent="0.25">
      <c r="A32" s="7">
        <v>31</v>
      </c>
      <c r="B32" t="s">
        <v>69</v>
      </c>
      <c r="C32">
        <v>1</v>
      </c>
      <c r="D32" t="s">
        <v>72</v>
      </c>
      <c r="E32">
        <v>66.11</v>
      </c>
      <c r="F32">
        <v>0.39300000000000002</v>
      </c>
      <c r="G32">
        <v>2</v>
      </c>
      <c r="H32">
        <v>0.15429999999999999</v>
      </c>
      <c r="S32" t="s">
        <v>70</v>
      </c>
      <c r="T32">
        <v>10.4</v>
      </c>
      <c r="U32">
        <v>4</v>
      </c>
      <c r="V32">
        <v>0</v>
      </c>
      <c r="W32" t="s">
        <v>71</v>
      </c>
      <c r="X32">
        <v>22.49</v>
      </c>
      <c r="Y32">
        <v>4</v>
      </c>
      <c r="Z32">
        <v>0</v>
      </c>
      <c r="AA32" t="s">
        <v>73</v>
      </c>
      <c r="AB32">
        <v>1</v>
      </c>
      <c r="AC32">
        <v>3</v>
      </c>
      <c r="AD32">
        <v>0</v>
      </c>
      <c r="AE32">
        <v>5.0000000000000001E-3</v>
      </c>
      <c r="AF32">
        <f>10^AH32</f>
        <v>6.4001690364862132E-3</v>
      </c>
      <c r="AG32">
        <f t="shared" si="0"/>
        <v>-2.3010299956639813</v>
      </c>
      <c r="AH32">
        <v>-2.1938085556030269</v>
      </c>
    </row>
    <row r="33" spans="1:34" x14ac:dyDescent="0.25">
      <c r="A33" s="6">
        <v>32</v>
      </c>
      <c r="B33" t="s">
        <v>69</v>
      </c>
      <c r="C33">
        <v>1</v>
      </c>
      <c r="D33" t="s">
        <v>72</v>
      </c>
      <c r="E33">
        <v>65.680000000000007</v>
      </c>
      <c r="F33">
        <v>0.39300000000000002</v>
      </c>
      <c r="G33">
        <v>2</v>
      </c>
      <c r="H33">
        <v>0.15429999999999999</v>
      </c>
      <c r="S33" t="s">
        <v>70</v>
      </c>
      <c r="T33">
        <v>9.81</v>
      </c>
      <c r="U33">
        <v>4</v>
      </c>
      <c r="V33">
        <v>0</v>
      </c>
      <c r="W33" t="s">
        <v>71</v>
      </c>
      <c r="X33">
        <v>21.2</v>
      </c>
      <c r="Y33">
        <v>4</v>
      </c>
      <c r="Z33">
        <v>0</v>
      </c>
      <c r="AA33" t="s">
        <v>73</v>
      </c>
      <c r="AB33">
        <v>3.31</v>
      </c>
      <c r="AC33">
        <v>3</v>
      </c>
      <c r="AD33">
        <v>0</v>
      </c>
      <c r="AE33">
        <v>4.0000000000000001E-3</v>
      </c>
      <c r="AF33">
        <f>10^AH33</f>
        <v>5.9799347271911356E-3</v>
      </c>
      <c r="AG33">
        <f t="shared" si="0"/>
        <v>-2.3979400086720375</v>
      </c>
      <c r="AH33">
        <v>-2.2233035564422612</v>
      </c>
    </row>
    <row r="34" spans="1:34" x14ac:dyDescent="0.25">
      <c r="A34" s="6">
        <v>33</v>
      </c>
      <c r="B34" t="s">
        <v>69</v>
      </c>
      <c r="C34">
        <v>1</v>
      </c>
      <c r="D34" t="s">
        <v>72</v>
      </c>
      <c r="E34">
        <v>65.67</v>
      </c>
      <c r="F34">
        <v>0.39300000000000002</v>
      </c>
      <c r="G34">
        <v>2</v>
      </c>
      <c r="H34">
        <v>0.15429999999999999</v>
      </c>
      <c r="S34" t="s">
        <v>70</v>
      </c>
      <c r="T34">
        <v>8.86</v>
      </c>
      <c r="U34">
        <v>4</v>
      </c>
      <c r="V34">
        <v>0</v>
      </c>
      <c r="W34" t="s">
        <v>71</v>
      </c>
      <c r="X34">
        <v>19.14</v>
      </c>
      <c r="Y34">
        <v>4</v>
      </c>
      <c r="Z34">
        <v>0</v>
      </c>
      <c r="AA34" t="s">
        <v>73</v>
      </c>
      <c r="AB34">
        <v>6.33</v>
      </c>
      <c r="AC34">
        <v>3</v>
      </c>
      <c r="AD34">
        <v>0</v>
      </c>
      <c r="AE34">
        <v>3.5000000000000001E-3</v>
      </c>
      <c r="AF34">
        <f>10^AH34</f>
        <v>6.1716998480148598E-3</v>
      </c>
      <c r="AG34">
        <f t="shared" si="0"/>
        <v>-2.4559319556497243</v>
      </c>
      <c r="AH34">
        <v>-2.2095952033996582</v>
      </c>
    </row>
    <row r="35" spans="1:34" x14ac:dyDescent="0.25">
      <c r="A35" s="6">
        <v>34</v>
      </c>
      <c r="B35" t="s">
        <v>69</v>
      </c>
      <c r="C35">
        <v>1</v>
      </c>
      <c r="D35" t="s">
        <v>72</v>
      </c>
      <c r="E35">
        <v>65.45</v>
      </c>
      <c r="F35">
        <v>0.39300000000000002</v>
      </c>
      <c r="G35">
        <v>2</v>
      </c>
      <c r="H35">
        <v>0.15429999999999999</v>
      </c>
      <c r="S35" t="s">
        <v>70</v>
      </c>
      <c r="T35">
        <v>7.77</v>
      </c>
      <c r="U35">
        <v>4</v>
      </c>
      <c r="V35">
        <v>0</v>
      </c>
      <c r="W35" t="s">
        <v>71</v>
      </c>
      <c r="X35">
        <v>16.809999999999999</v>
      </c>
      <c r="Y35">
        <v>4</v>
      </c>
      <c r="Z35">
        <v>0</v>
      </c>
      <c r="AA35" t="s">
        <v>73</v>
      </c>
      <c r="AB35">
        <v>9.9700000000000006</v>
      </c>
      <c r="AC35">
        <v>3</v>
      </c>
      <c r="AD35">
        <v>0</v>
      </c>
      <c r="AE35">
        <v>3.0000000000000001E-3</v>
      </c>
      <c r="AF35">
        <f>10^AH35</f>
        <v>6.2453191672105562E-3</v>
      </c>
      <c r="AG35">
        <f t="shared" si="0"/>
        <v>-2.5228787452803374</v>
      </c>
      <c r="AH35">
        <v>-2.204445362091064</v>
      </c>
    </row>
    <row r="36" spans="1:34" x14ac:dyDescent="0.25">
      <c r="A36" s="6">
        <v>35</v>
      </c>
      <c r="B36" t="s">
        <v>74</v>
      </c>
      <c r="C36">
        <v>1</v>
      </c>
      <c r="D36" t="s">
        <v>31</v>
      </c>
      <c r="E36">
        <v>34.83</v>
      </c>
      <c r="F36">
        <v>0.54</v>
      </c>
      <c r="G36">
        <v>2</v>
      </c>
      <c r="H36">
        <v>0.10539999999999999</v>
      </c>
      <c r="S36" t="s">
        <v>75</v>
      </c>
      <c r="T36">
        <v>65.17</v>
      </c>
      <c r="U36">
        <v>1</v>
      </c>
      <c r="V36">
        <v>0</v>
      </c>
      <c r="AE36">
        <v>1.0800000000000001E-2</v>
      </c>
      <c r="AF36">
        <f>10^AH36</f>
        <v>2.8642991584598033E-3</v>
      </c>
      <c r="AG36">
        <f t="shared" si="0"/>
        <v>-1.9665762445130504</v>
      </c>
      <c r="AH36">
        <v>-2.542981624603271</v>
      </c>
    </row>
    <row r="37" spans="1:34" x14ac:dyDescent="0.25">
      <c r="A37" s="6">
        <v>36</v>
      </c>
      <c r="B37" t="s">
        <v>74</v>
      </c>
      <c r="C37">
        <v>1</v>
      </c>
      <c r="D37" t="s">
        <v>31</v>
      </c>
      <c r="E37">
        <v>35.85</v>
      </c>
      <c r="F37">
        <v>0.54</v>
      </c>
      <c r="G37">
        <v>2</v>
      </c>
      <c r="H37">
        <v>0.10539999999999999</v>
      </c>
      <c r="S37" t="s">
        <v>75</v>
      </c>
      <c r="T37">
        <v>63.71</v>
      </c>
      <c r="U37">
        <v>1</v>
      </c>
      <c r="V37">
        <v>0</v>
      </c>
      <c r="W37" t="s">
        <v>76</v>
      </c>
      <c r="X37">
        <v>0.44</v>
      </c>
      <c r="Y37">
        <v>3</v>
      </c>
      <c r="Z37">
        <v>0</v>
      </c>
      <c r="AE37">
        <v>4.0000000000000001E-3</v>
      </c>
      <c r="AF37">
        <f>10^AH37</f>
        <v>5.6579683394206628E-3</v>
      </c>
      <c r="AG37">
        <f t="shared" si="0"/>
        <v>-2.3979400086720375</v>
      </c>
      <c r="AH37">
        <v>-2.2473394870758061</v>
      </c>
    </row>
    <row r="38" spans="1:34" x14ac:dyDescent="0.25">
      <c r="A38" s="7">
        <v>37</v>
      </c>
      <c r="B38" t="s">
        <v>74</v>
      </c>
      <c r="C38">
        <v>1</v>
      </c>
      <c r="D38" t="s">
        <v>31</v>
      </c>
      <c r="E38">
        <v>36.93</v>
      </c>
      <c r="F38">
        <v>0.54</v>
      </c>
      <c r="G38">
        <v>2</v>
      </c>
      <c r="H38">
        <v>0.10539999999999999</v>
      </c>
      <c r="S38" t="s">
        <v>75</v>
      </c>
      <c r="T38">
        <v>62.17</v>
      </c>
      <c r="U38">
        <v>1</v>
      </c>
      <c r="V38">
        <v>0</v>
      </c>
      <c r="W38" t="s">
        <v>76</v>
      </c>
      <c r="X38">
        <v>0.9</v>
      </c>
      <c r="Y38">
        <v>3</v>
      </c>
      <c r="Z38">
        <v>0</v>
      </c>
      <c r="AE38">
        <v>2.5000000000000001E-3</v>
      </c>
      <c r="AF38">
        <f>10^AH38</f>
        <v>6.0673498658907945E-3</v>
      </c>
      <c r="AG38">
        <f t="shared" si="0"/>
        <v>-2.6020599913279625</v>
      </c>
      <c r="AH38">
        <v>-2.2170009613037109</v>
      </c>
    </row>
    <row r="39" spans="1:34" x14ac:dyDescent="0.25">
      <c r="A39" s="6">
        <v>38</v>
      </c>
      <c r="B39" t="s">
        <v>74</v>
      </c>
      <c r="C39">
        <v>1</v>
      </c>
      <c r="D39" t="s">
        <v>31</v>
      </c>
      <c r="E39">
        <v>38.07</v>
      </c>
      <c r="F39">
        <v>0.54</v>
      </c>
      <c r="G39">
        <v>2</v>
      </c>
      <c r="H39">
        <v>0.10539999999999999</v>
      </c>
      <c r="S39" t="s">
        <v>75</v>
      </c>
      <c r="T39">
        <v>60.53</v>
      </c>
      <c r="U39">
        <v>1</v>
      </c>
      <c r="V39">
        <v>0</v>
      </c>
      <c r="W39" t="s">
        <v>76</v>
      </c>
      <c r="X39">
        <v>1.4</v>
      </c>
      <c r="Y39">
        <v>3</v>
      </c>
      <c r="Z39">
        <v>0</v>
      </c>
      <c r="AE39">
        <v>7.0000000000000001E-3</v>
      </c>
      <c r="AF39">
        <f>10^AH39</f>
        <v>5.6528983409593917E-3</v>
      </c>
      <c r="AG39">
        <f t="shared" si="0"/>
        <v>-2.1549019599857431</v>
      </c>
      <c r="AH39">
        <v>-2.247728824615479</v>
      </c>
    </row>
    <row r="40" spans="1:34" x14ac:dyDescent="0.25">
      <c r="A40" s="6">
        <v>39</v>
      </c>
      <c r="B40" t="s">
        <v>74</v>
      </c>
      <c r="C40">
        <v>1</v>
      </c>
      <c r="D40" t="s">
        <v>31</v>
      </c>
      <c r="E40">
        <v>39.28</v>
      </c>
      <c r="F40">
        <v>0.54</v>
      </c>
      <c r="G40">
        <v>2</v>
      </c>
      <c r="H40">
        <v>0.10539999999999999</v>
      </c>
      <c r="S40" t="s">
        <v>75</v>
      </c>
      <c r="T40">
        <v>58.79</v>
      </c>
      <c r="U40">
        <v>1</v>
      </c>
      <c r="V40">
        <v>0</v>
      </c>
      <c r="W40" t="s">
        <v>76</v>
      </c>
      <c r="X40">
        <v>1.93</v>
      </c>
      <c r="Y40">
        <v>3</v>
      </c>
      <c r="Z40">
        <v>0</v>
      </c>
      <c r="AE40">
        <v>6.7999999999999996E-3</v>
      </c>
      <c r="AF40">
        <f>10^AH40</f>
        <v>5.6501742800515444E-3</v>
      </c>
      <c r="AG40">
        <f t="shared" si="0"/>
        <v>-2.1674910872937638</v>
      </c>
      <c r="AH40">
        <v>-2.2479381561279301</v>
      </c>
    </row>
    <row r="41" spans="1:34" x14ac:dyDescent="0.25">
      <c r="A41" s="6">
        <v>40</v>
      </c>
      <c r="B41" t="s">
        <v>74</v>
      </c>
      <c r="C41">
        <v>1</v>
      </c>
      <c r="D41" t="s">
        <v>31</v>
      </c>
      <c r="E41">
        <v>40.58</v>
      </c>
      <c r="F41">
        <v>0.54</v>
      </c>
      <c r="G41">
        <v>2</v>
      </c>
      <c r="H41">
        <v>0.10539999999999999</v>
      </c>
      <c r="S41" t="s">
        <v>75</v>
      </c>
      <c r="T41">
        <v>56.93</v>
      </c>
      <c r="U41">
        <v>1</v>
      </c>
      <c r="V41">
        <v>0</v>
      </c>
      <c r="W41" t="s">
        <v>76</v>
      </c>
      <c r="X41">
        <v>2.4900000000000002</v>
      </c>
      <c r="Y41">
        <v>3</v>
      </c>
      <c r="Z41">
        <v>0</v>
      </c>
      <c r="AE41">
        <v>7.4999999999999997E-3</v>
      </c>
      <c r="AF41">
        <f>10^AH41</f>
        <v>5.4290376404823853E-3</v>
      </c>
      <c r="AG41">
        <f>LOG10(AE41)</f>
        <v>-2.1249387366082999</v>
      </c>
      <c r="AH41">
        <v>-2.2652771472930899</v>
      </c>
    </row>
    <row r="42" spans="1:34" x14ac:dyDescent="0.25">
      <c r="A42" s="6">
        <v>41</v>
      </c>
      <c r="B42" t="s">
        <v>77</v>
      </c>
      <c r="C42">
        <v>0</v>
      </c>
      <c r="D42" t="s">
        <v>31</v>
      </c>
      <c r="E42">
        <v>40</v>
      </c>
      <c r="F42">
        <v>0.51</v>
      </c>
      <c r="G42">
        <v>2</v>
      </c>
      <c r="H42">
        <v>0.18179999999999999</v>
      </c>
      <c r="S42" t="s">
        <v>78</v>
      </c>
      <c r="T42">
        <v>40</v>
      </c>
      <c r="U42">
        <v>2</v>
      </c>
      <c r="V42">
        <v>1</v>
      </c>
      <c r="W42" t="s">
        <v>79</v>
      </c>
      <c r="X42">
        <v>20</v>
      </c>
      <c r="Y42">
        <v>4</v>
      </c>
      <c r="Z42">
        <v>0</v>
      </c>
      <c r="AE42">
        <v>1.0999999999999999E-2</v>
      </c>
      <c r="AF42">
        <f>10^AH42</f>
        <v>7.2899178665022622E-3</v>
      </c>
      <c r="AG42">
        <f>LOG10(AE42)</f>
        <v>-1.9586073148417751</v>
      </c>
      <c r="AH42">
        <v>-2.1372773647308301</v>
      </c>
    </row>
    <row r="43" spans="1:34" x14ac:dyDescent="0.25">
      <c r="A43" s="6">
        <v>42</v>
      </c>
      <c r="B43" t="s">
        <v>80</v>
      </c>
      <c r="C43">
        <v>1</v>
      </c>
      <c r="D43" t="s">
        <v>31</v>
      </c>
      <c r="E43">
        <v>33.33</v>
      </c>
      <c r="F43">
        <v>0.53480000000000005</v>
      </c>
      <c r="G43">
        <v>2</v>
      </c>
      <c r="H43">
        <v>0.1181</v>
      </c>
      <c r="S43" t="s">
        <v>41</v>
      </c>
      <c r="T43">
        <v>66.67</v>
      </c>
      <c r="U43">
        <v>1</v>
      </c>
      <c r="V43">
        <v>0</v>
      </c>
      <c r="AE43">
        <v>3.2000000000000002E-3</v>
      </c>
      <c r="AF43">
        <f>10^AH43</f>
        <v>4.2147640196120023E-3</v>
      </c>
      <c r="AG43">
        <f>LOG10(AE43)</f>
        <v>-2.4948500216800942</v>
      </c>
      <c r="AH43">
        <v>-2.37522673606873</v>
      </c>
    </row>
  </sheetData>
  <sortState ref="A2:AI54">
    <sortCondition ref="A1"/>
  </sortState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</cp:lastModifiedBy>
  <dcterms:created xsi:type="dcterms:W3CDTF">2026-03-02T16:24:06Z</dcterms:created>
  <dcterms:modified xsi:type="dcterms:W3CDTF">2026-05-14T13:45:23Z</dcterms:modified>
</cp:coreProperties>
</file>